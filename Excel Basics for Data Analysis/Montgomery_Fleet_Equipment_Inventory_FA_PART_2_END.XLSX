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Users\sthefany.bspina\Downloads\"/>
    </mc:Choice>
  </mc:AlternateContent>
  <xr:revisionPtr revIDLastSave="0" documentId="8_{073AF38C-425C-4AB3-801F-4E52F09FEE1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Table" sheetId="7" r:id="rId2"/>
    <sheet name="PivotTable2" sheetId="13" r:id="rId3"/>
    <sheet name="PivotTable3" sheetId="11" r:id="rId4"/>
  </sheets>
  <definedNames>
    <definedName name="_xlnm._FilterDatabase" localSheetId="0" hidden="1">Montgomery_Fleet_Equipment_Inve!$A$1:$C$50</definedName>
  </definedNames>
  <calcPr calcId="191029"/>
  <pivotCaches>
    <pivotCache cacheId="3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<sst xmlns="http://schemas.openxmlformats.org/spreadsheetml/2006/main" count="174" uniqueCount="37">
  <si>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</si>
  <si>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</si>
  <si>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</si>
  <si>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</si>
  <si>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</si>
  <si>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</si>
  <si>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</si>
  <si>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</si>
  <si>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</si>
  <si>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</si>
  <si>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</si>
  <si>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</si>
  <si>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</si>
  <si>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</si>
  <si>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</si>
  <si>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</si>
  <si>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</si>
  <si>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</si>
  <si>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</si>
  <si>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</si>
  <si>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</si>
  <si>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</si>
  <si>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</si>
  <si>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</si>
  <si>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</si>
  <si>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</si>
  <si>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</si>
  <si>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</si>
  <si>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</si>
  <si>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</si>
  <si>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</si>
  <si>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</si>
  <si>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</si>
  <si>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</si>
  <si>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Rótulos de Linha</t>
  </si>
  <si>
    <t>Total Geral</t>
  </si>
  <si>
    <t>Soma de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</si>
</sst>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any Spina" refreshedDate="45421.643725694441" createdVersion="8" refreshedVersion="8" minRefreshableVersion="3" recordCount="49" xr:uid="{03493802-6A68-4488-BBEF-291BA11B251A}">
  <cacheSource type="worksheet">
    <worksheetSource name="Tabela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2E2F8-2CAC-4A98-B596-C907C7E55A05}" name="Tabela dinâmica7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9C616-CE79-4FF8-A2D8-B08F48923DE7}" name="Tabela dinâmica1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C520E-3B8A-4F38-BB9F-AA526E38530E}" name="Tabela dinâmica10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F431E-B51D-4220-8BEE-B57F7D9BF3D1}" name="Tabela1" displayName="Tabela1" ref="A1:C50" totalsRowShown="0" headerRowDxfId="1" dataDxfId="0">
  <autoFilter ref="A1:C50" xr:uid="{017F431E-B51D-4220-8BEE-B57F7D9BF3D1}"/>
  <tableColumns count="3">
    <tableColumn id="1" xr3:uid="{2B495456-AD39-4ECE-8DEF-DB7B39DA78C7}" name="Department" dataDxfId="4"/>
    <tableColumn id="2" xr3:uid="{9002CFAF-C684-428B-8C71-FA35EA1D8CBF}" name="Equipment Class" dataDxfId="3"/>
    <tableColumn id="3" xr3:uid="{A20BF20F-8F35-4DAD-AA81-C619F679BBF8}" name="Equipment Cou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2" workbookViewId="0">
      <selection activeCell="C50" sqref="A1:C50"/>
    </sheetView>
  </sheetViews>
  <sheetFormatPr defaultRowHeight="15" x14ac:dyDescent="0.25"/>
  <cols>
    <col min="1" max="1" width="29.42578125" style="1" bestFit="1" customWidth="1"/>
    <col min="2" max="2" width="26.140625" style="1" bestFit="1" customWidth="1"/>
    <col min="3" max="3" width="18.5703125" style="1" customWidth="1"/>
    <col min="4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1" t="s">
        <v>5</v>
      </c>
      <c r="B2" s="1" t="s">
        <v>6</v>
      </c>
      <c r="C2" s="1">
        <v>21</v>
      </c>
      <c r="E2" s="2" t="s">
        <v>29</v>
      </c>
      <c r="F2" s="1">
        <f>SUM(C2:C50)</f>
        <v>1582</v>
      </c>
    </row>
    <row r="3" spans="1:6" x14ac:dyDescent="0.25">
      <c r="A3" s="1" t="s">
        <v>5</v>
      </c>
      <c r="B3" s="1" t="s">
        <v>7</v>
      </c>
      <c r="C3" s="1">
        <v>1</v>
      </c>
      <c r="E3" s="2" t="s">
        <v>30</v>
      </c>
      <c r="F3" s="1">
        <f>AVERAGE(C2:C50)</f>
        <v>32.285714285714285</v>
      </c>
    </row>
    <row r="4" spans="1:6" x14ac:dyDescent="0.25">
      <c r="A4" s="1" t="s">
        <v>5</v>
      </c>
      <c r="B4" s="1" t="s">
        <v>4</v>
      </c>
      <c r="C4" s="1">
        <v>23</v>
      </c>
      <c r="E4" s="2" t="s">
        <v>31</v>
      </c>
      <c r="F4" s="1">
        <f>MIN(C1:C50)</f>
        <v>1</v>
      </c>
    </row>
    <row r="5" spans="1:6" x14ac:dyDescent="0.25">
      <c r="A5" s="1" t="s">
        <v>8</v>
      </c>
      <c r="B5" s="1" t="s">
        <v>4</v>
      </c>
      <c r="C5" s="1">
        <v>2</v>
      </c>
      <c r="E5" s="2" t="s">
        <v>32</v>
      </c>
      <c r="F5" s="1">
        <f>MAX(C1:C50)</f>
        <v>379</v>
      </c>
    </row>
    <row r="6" spans="1:6" x14ac:dyDescent="0.25">
      <c r="A6" s="1" t="s">
        <v>9</v>
      </c>
      <c r="B6" s="1" t="s">
        <v>6</v>
      </c>
      <c r="C6" s="1">
        <v>3</v>
      </c>
      <c r="E6" s="2" t="s">
        <v>33</v>
      </c>
      <c r="F6" s="1">
        <f>COUNT(C1:C50)</f>
        <v>49</v>
      </c>
    </row>
    <row r="7" spans="1:6" x14ac:dyDescent="0.25">
      <c r="A7" s="1" t="s">
        <v>9</v>
      </c>
      <c r="B7" s="1" t="s">
        <v>10</v>
      </c>
      <c r="C7" s="1">
        <v>2</v>
      </c>
    </row>
    <row r="8" spans="1:6" x14ac:dyDescent="0.25">
      <c r="A8" s="1" t="s">
        <v>9</v>
      </c>
      <c r="B8" s="1" t="s">
        <v>11</v>
      </c>
      <c r="C8" s="1">
        <v>1</v>
      </c>
    </row>
    <row r="9" spans="1:6" x14ac:dyDescent="0.25">
      <c r="A9" s="1" t="s">
        <v>12</v>
      </c>
      <c r="B9" s="1" t="s">
        <v>10</v>
      </c>
      <c r="C9" s="1">
        <v>2</v>
      </c>
    </row>
    <row r="10" spans="1:6" x14ac:dyDescent="0.25">
      <c r="A10" s="1" t="s">
        <v>12</v>
      </c>
      <c r="B10" s="1" t="s">
        <v>13</v>
      </c>
      <c r="C10" s="1">
        <v>42</v>
      </c>
    </row>
    <row r="11" spans="1:6" x14ac:dyDescent="0.25">
      <c r="A11" s="1" t="s">
        <v>12</v>
      </c>
      <c r="B11" s="1" t="s">
        <v>7</v>
      </c>
      <c r="C11" s="1">
        <v>1</v>
      </c>
    </row>
    <row r="12" spans="1:6" x14ac:dyDescent="0.25">
      <c r="A12" s="1" t="s">
        <v>12</v>
      </c>
      <c r="B12" s="1" t="s">
        <v>4</v>
      </c>
      <c r="C12" s="1">
        <v>11</v>
      </c>
    </row>
    <row r="13" spans="1:6" x14ac:dyDescent="0.25">
      <c r="A13" s="1" t="s">
        <v>14</v>
      </c>
      <c r="B13" s="1" t="s">
        <v>7</v>
      </c>
      <c r="C13" s="1">
        <v>1</v>
      </c>
    </row>
    <row r="14" spans="1:6" x14ac:dyDescent="0.25">
      <c r="A14" s="1" t="s">
        <v>15</v>
      </c>
      <c r="B14" s="1" t="s">
        <v>16</v>
      </c>
      <c r="C14" s="1">
        <v>9</v>
      </c>
    </row>
    <row r="15" spans="1:6" x14ac:dyDescent="0.25">
      <c r="A15" s="1" t="s">
        <v>15</v>
      </c>
      <c r="B15" s="1" t="s">
        <v>7</v>
      </c>
      <c r="C15" s="1">
        <v>27</v>
      </c>
    </row>
    <row r="16" spans="1:6" x14ac:dyDescent="0.25">
      <c r="A16" s="1" t="s">
        <v>15</v>
      </c>
      <c r="B16" s="1" t="s">
        <v>6</v>
      </c>
      <c r="C16" s="1">
        <v>24</v>
      </c>
    </row>
    <row r="17" spans="1:3" x14ac:dyDescent="0.25">
      <c r="A17" s="1" t="s">
        <v>15</v>
      </c>
      <c r="B17" s="1" t="s">
        <v>10</v>
      </c>
      <c r="C17" s="1">
        <v>1</v>
      </c>
    </row>
    <row r="18" spans="1:3" x14ac:dyDescent="0.25">
      <c r="A18" s="1" t="s">
        <v>15</v>
      </c>
      <c r="B18" s="1" t="s">
        <v>4</v>
      </c>
      <c r="C18" s="1">
        <v>48</v>
      </c>
    </row>
    <row r="19" spans="1:3" x14ac:dyDescent="0.25">
      <c r="A19" s="1" t="s">
        <v>17</v>
      </c>
      <c r="B19" s="1" t="s">
        <v>10</v>
      </c>
      <c r="C19" s="1">
        <v>1</v>
      </c>
    </row>
    <row r="20" spans="1:3" x14ac:dyDescent="0.25">
      <c r="A20" s="1" t="s">
        <v>18</v>
      </c>
      <c r="B20" s="1" t="s">
        <v>4</v>
      </c>
      <c r="C20" s="1">
        <v>6</v>
      </c>
    </row>
    <row r="21" spans="1:3" x14ac:dyDescent="0.25">
      <c r="A21" s="1" t="s">
        <v>18</v>
      </c>
      <c r="B21" s="1" t="s">
        <v>6</v>
      </c>
      <c r="C21" s="1">
        <v>5</v>
      </c>
    </row>
    <row r="22" spans="1:3" x14ac:dyDescent="0.25">
      <c r="A22" s="1" t="s">
        <v>18</v>
      </c>
      <c r="B22" s="1" t="s">
        <v>7</v>
      </c>
      <c r="C22" s="1">
        <v>2</v>
      </c>
    </row>
    <row r="23" spans="1:3" x14ac:dyDescent="0.25">
      <c r="A23" s="1" t="s">
        <v>18</v>
      </c>
      <c r="B23" s="1" t="s">
        <v>10</v>
      </c>
      <c r="C23" s="1">
        <v>15</v>
      </c>
    </row>
    <row r="24" spans="1:3" x14ac:dyDescent="0.25">
      <c r="A24" s="1" t="s">
        <v>18</v>
      </c>
      <c r="B24" s="1" t="s">
        <v>28</v>
      </c>
      <c r="C24" s="1">
        <v>7</v>
      </c>
    </row>
    <row r="25" spans="1:3" x14ac:dyDescent="0.25">
      <c r="A25" s="1" t="s">
        <v>19</v>
      </c>
      <c r="B25" s="1" t="s">
        <v>3</v>
      </c>
      <c r="C25" s="1">
        <v>20</v>
      </c>
    </row>
    <row r="26" spans="1:3" x14ac:dyDescent="0.25">
      <c r="A26" s="1" t="s">
        <v>19</v>
      </c>
      <c r="B26" s="1" t="s">
        <v>4</v>
      </c>
      <c r="C26" s="1">
        <v>1</v>
      </c>
    </row>
    <row r="27" spans="1:3" x14ac:dyDescent="0.25">
      <c r="A27" s="1" t="s">
        <v>19</v>
      </c>
      <c r="B27" s="1" t="s">
        <v>11</v>
      </c>
      <c r="C27" s="1">
        <v>1</v>
      </c>
    </row>
    <row r="28" spans="1:3" x14ac:dyDescent="0.25">
      <c r="A28" s="1" t="s">
        <v>19</v>
      </c>
      <c r="B28" s="1" t="s">
        <v>6</v>
      </c>
      <c r="C28" s="1">
        <v>3</v>
      </c>
    </row>
    <row r="29" spans="1:3" x14ac:dyDescent="0.25">
      <c r="A29" s="1" t="s">
        <v>19</v>
      </c>
      <c r="B29" s="1" t="s">
        <v>7</v>
      </c>
      <c r="C29" s="1">
        <v>1</v>
      </c>
    </row>
    <row r="30" spans="1:3" x14ac:dyDescent="0.25">
      <c r="A30" s="1" t="s">
        <v>19</v>
      </c>
      <c r="B30" s="1" t="s">
        <v>20</v>
      </c>
      <c r="C30" s="1">
        <v>8</v>
      </c>
    </row>
    <row r="31" spans="1:3" x14ac:dyDescent="0.25">
      <c r="A31" s="1" t="s">
        <v>19</v>
      </c>
      <c r="B31" s="1" t="s">
        <v>21</v>
      </c>
      <c r="C31" s="1">
        <v>4</v>
      </c>
    </row>
    <row r="32" spans="1:3" x14ac:dyDescent="0.25">
      <c r="A32" s="1" t="s">
        <v>19</v>
      </c>
      <c r="B32" s="1" t="s">
        <v>22</v>
      </c>
      <c r="C32" s="1">
        <v>46</v>
      </c>
    </row>
    <row r="33" spans="1:3" x14ac:dyDescent="0.25">
      <c r="A33" s="1" t="s">
        <v>19</v>
      </c>
      <c r="B33" s="1" t="s">
        <v>23</v>
      </c>
      <c r="C33" s="1">
        <v>1</v>
      </c>
    </row>
    <row r="34" spans="1:3" x14ac:dyDescent="0.25">
      <c r="A34" s="1" t="s">
        <v>24</v>
      </c>
      <c r="B34" s="1" t="s">
        <v>22</v>
      </c>
      <c r="C34" s="1">
        <v>1</v>
      </c>
    </row>
    <row r="35" spans="1:3" x14ac:dyDescent="0.25">
      <c r="A35" s="1" t="s">
        <v>24</v>
      </c>
      <c r="B35" s="1" t="s">
        <v>10</v>
      </c>
      <c r="C35" s="1">
        <v>1</v>
      </c>
    </row>
    <row r="36" spans="1:3" x14ac:dyDescent="0.25">
      <c r="A36" s="1" t="s">
        <v>24</v>
      </c>
      <c r="B36" s="1" t="s">
        <v>7</v>
      </c>
      <c r="C36" s="1">
        <v>1</v>
      </c>
    </row>
    <row r="37" spans="1:3" x14ac:dyDescent="0.25">
      <c r="A37" s="1" t="s">
        <v>24</v>
      </c>
      <c r="B37" s="1" t="s">
        <v>4</v>
      </c>
      <c r="C37" s="1">
        <v>2</v>
      </c>
    </row>
    <row r="38" spans="1:3" x14ac:dyDescent="0.25">
      <c r="A38" s="1" t="s">
        <v>25</v>
      </c>
      <c r="B38" s="1" t="s">
        <v>6</v>
      </c>
      <c r="C38" s="1">
        <v>1</v>
      </c>
    </row>
    <row r="39" spans="1:3" x14ac:dyDescent="0.25">
      <c r="A39" s="1" t="s">
        <v>25</v>
      </c>
      <c r="B39" s="1" t="s">
        <v>16</v>
      </c>
      <c r="C39" s="1">
        <v>1</v>
      </c>
    </row>
    <row r="40" spans="1:3" x14ac:dyDescent="0.25">
      <c r="A40" s="1" t="s">
        <v>25</v>
      </c>
      <c r="B40" s="1" t="s">
        <v>10</v>
      </c>
      <c r="C40" s="1">
        <v>11</v>
      </c>
    </row>
    <row r="41" spans="1:3" x14ac:dyDescent="0.25">
      <c r="A41" s="1" t="s">
        <v>25</v>
      </c>
      <c r="B41" s="1" t="s">
        <v>7</v>
      </c>
      <c r="C41" s="1">
        <v>3</v>
      </c>
    </row>
    <row r="42" spans="1:3" x14ac:dyDescent="0.25">
      <c r="A42" s="1" t="s">
        <v>26</v>
      </c>
      <c r="B42" s="1" t="s">
        <v>6</v>
      </c>
      <c r="C42" s="1">
        <v>93</v>
      </c>
    </row>
    <row r="43" spans="1:3" x14ac:dyDescent="0.25">
      <c r="A43" s="1" t="s">
        <v>26</v>
      </c>
      <c r="B43" s="1" t="s">
        <v>13</v>
      </c>
      <c r="C43" s="1">
        <v>248</v>
      </c>
    </row>
    <row r="44" spans="1:3" x14ac:dyDescent="0.25">
      <c r="A44" s="1" t="s">
        <v>26</v>
      </c>
      <c r="B44" s="1" t="s">
        <v>27</v>
      </c>
      <c r="C44" s="1">
        <v>379</v>
      </c>
    </row>
    <row r="45" spans="1:3" x14ac:dyDescent="0.25">
      <c r="A45" s="1" t="s">
        <v>26</v>
      </c>
      <c r="B45" s="1" t="s">
        <v>7</v>
      </c>
      <c r="C45" s="1">
        <v>53</v>
      </c>
    </row>
    <row r="46" spans="1:3" x14ac:dyDescent="0.25">
      <c r="A46" s="1" t="s">
        <v>26</v>
      </c>
      <c r="B46" s="1" t="s">
        <v>10</v>
      </c>
      <c r="C46" s="1">
        <v>32</v>
      </c>
    </row>
    <row r="47" spans="1:3" x14ac:dyDescent="0.25">
      <c r="A47" s="1" t="s">
        <v>26</v>
      </c>
      <c r="B47" s="1" t="s">
        <v>11</v>
      </c>
      <c r="C47" s="1">
        <v>98</v>
      </c>
    </row>
    <row r="48" spans="1:3" x14ac:dyDescent="0.25">
      <c r="A48" s="1" t="s">
        <v>26</v>
      </c>
      <c r="B48" s="1" t="s">
        <v>28</v>
      </c>
      <c r="C48" s="1">
        <v>276</v>
      </c>
    </row>
    <row r="49" spans="1:3" x14ac:dyDescent="0.25">
      <c r="A49" s="1" t="s">
        <v>26</v>
      </c>
      <c r="B49" s="1" t="s">
        <v>16</v>
      </c>
      <c r="C49" s="1">
        <v>5</v>
      </c>
    </row>
    <row r="50" spans="1:3" x14ac:dyDescent="0.25">
      <c r="A50" s="1" t="s">
        <v>26</v>
      </c>
      <c r="B50" s="1" t="s">
        <v>4</v>
      </c>
      <c r="C50" s="1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ED92-392C-4966-9968-F3C665C871C6}">
  <dimension ref="A3:B25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4.8554687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6">
        <v>1221</v>
      </c>
    </row>
    <row r="5" spans="1:2" x14ac:dyDescent="0.25">
      <c r="A5" s="5" t="s">
        <v>16</v>
      </c>
      <c r="B5" s="6">
        <v>5</v>
      </c>
    </row>
    <row r="6" spans="1:2" x14ac:dyDescent="0.25">
      <c r="A6" s="5" t="s">
        <v>13</v>
      </c>
      <c r="B6" s="6">
        <v>248</v>
      </c>
    </row>
    <row r="7" spans="1:2" x14ac:dyDescent="0.25">
      <c r="A7" s="5" t="s">
        <v>11</v>
      </c>
      <c r="B7" s="6">
        <v>98</v>
      </c>
    </row>
    <row r="8" spans="1:2" x14ac:dyDescent="0.25">
      <c r="A8" s="5" t="s">
        <v>28</v>
      </c>
      <c r="B8" s="6">
        <v>276</v>
      </c>
    </row>
    <row r="9" spans="1:2" x14ac:dyDescent="0.25">
      <c r="A9" s="5" t="s">
        <v>6</v>
      </c>
      <c r="B9" s="6">
        <v>93</v>
      </c>
    </row>
    <row r="10" spans="1:2" x14ac:dyDescent="0.25">
      <c r="A10" s="5" t="s">
        <v>4</v>
      </c>
      <c r="B10" s="6">
        <v>37</v>
      </c>
    </row>
    <row r="11" spans="1:2" x14ac:dyDescent="0.25">
      <c r="A11" s="5" t="s">
        <v>7</v>
      </c>
      <c r="B11" s="6">
        <v>53</v>
      </c>
    </row>
    <row r="12" spans="1:2" x14ac:dyDescent="0.25">
      <c r="A12" s="5" t="s">
        <v>27</v>
      </c>
      <c r="B12" s="6">
        <v>379</v>
      </c>
    </row>
    <row r="13" spans="1:2" x14ac:dyDescent="0.25">
      <c r="A13" s="5" t="s">
        <v>10</v>
      </c>
      <c r="B13" s="6">
        <v>32</v>
      </c>
    </row>
    <row r="14" spans="1:2" x14ac:dyDescent="0.25">
      <c r="A14" s="4" t="s">
        <v>15</v>
      </c>
      <c r="B14" s="6">
        <v>109</v>
      </c>
    </row>
    <row r="15" spans="1:2" x14ac:dyDescent="0.25">
      <c r="A15" s="4" t="s">
        <v>19</v>
      </c>
      <c r="B15" s="6">
        <v>85</v>
      </c>
    </row>
    <row r="16" spans="1:2" x14ac:dyDescent="0.25">
      <c r="A16" s="4" t="s">
        <v>12</v>
      </c>
      <c r="B16" s="6">
        <v>56</v>
      </c>
    </row>
    <row r="17" spans="1:2" x14ac:dyDescent="0.25">
      <c r="A17" s="4" t="s">
        <v>5</v>
      </c>
      <c r="B17" s="6">
        <v>45</v>
      </c>
    </row>
    <row r="18" spans="1:2" x14ac:dyDescent="0.25">
      <c r="A18" s="4" t="s">
        <v>18</v>
      </c>
      <c r="B18" s="6">
        <v>35</v>
      </c>
    </row>
    <row r="19" spans="1:2" x14ac:dyDescent="0.25">
      <c r="A19" s="4" t="s">
        <v>25</v>
      </c>
      <c r="B19" s="6">
        <v>16</v>
      </c>
    </row>
    <row r="20" spans="1:2" x14ac:dyDescent="0.25">
      <c r="A20" s="4" t="s">
        <v>9</v>
      </c>
      <c r="B20" s="6">
        <v>6</v>
      </c>
    </row>
    <row r="21" spans="1:2" x14ac:dyDescent="0.25">
      <c r="A21" s="4" t="s">
        <v>24</v>
      </c>
      <c r="B21" s="6">
        <v>5</v>
      </c>
    </row>
    <row r="22" spans="1:2" x14ac:dyDescent="0.25">
      <c r="A22" s="4" t="s">
        <v>8</v>
      </c>
      <c r="B22" s="6">
        <v>2</v>
      </c>
    </row>
    <row r="23" spans="1:2" x14ac:dyDescent="0.25">
      <c r="A23" s="4" t="s">
        <v>14</v>
      </c>
      <c r="B23" s="6">
        <v>1</v>
      </c>
    </row>
    <row r="24" spans="1:2" x14ac:dyDescent="0.25">
      <c r="A24" s="4" t="s">
        <v>17</v>
      </c>
      <c r="B24" s="6">
        <v>1</v>
      </c>
    </row>
    <row r="25" spans="1:2" x14ac:dyDescent="0.25">
      <c r="A25" s="4" t="s">
        <v>35</v>
      </c>
      <c r="B25" s="6">
        <v>1582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6B2B-6EEC-4EAE-8C33-8B784132342F}">
  <dimension ref="A3:B25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4.8554687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6">
        <v>1221</v>
      </c>
    </row>
    <row r="5" spans="1:2" x14ac:dyDescent="0.25">
      <c r="A5" s="5" t="s">
        <v>16</v>
      </c>
      <c r="B5" s="6">
        <v>5</v>
      </c>
    </row>
    <row r="6" spans="1:2" x14ac:dyDescent="0.25">
      <c r="A6" s="5" t="s">
        <v>13</v>
      </c>
      <c r="B6" s="6">
        <v>248</v>
      </c>
    </row>
    <row r="7" spans="1:2" x14ac:dyDescent="0.25">
      <c r="A7" s="5" t="s">
        <v>11</v>
      </c>
      <c r="B7" s="6">
        <v>98</v>
      </c>
    </row>
    <row r="8" spans="1:2" x14ac:dyDescent="0.25">
      <c r="A8" s="5" t="s">
        <v>28</v>
      </c>
      <c r="B8" s="6">
        <v>276</v>
      </c>
    </row>
    <row r="9" spans="1:2" x14ac:dyDescent="0.25">
      <c r="A9" s="5" t="s">
        <v>6</v>
      </c>
      <c r="B9" s="6">
        <v>93</v>
      </c>
    </row>
    <row r="10" spans="1:2" x14ac:dyDescent="0.25">
      <c r="A10" s="5" t="s">
        <v>4</v>
      </c>
      <c r="B10" s="6">
        <v>37</v>
      </c>
    </row>
    <row r="11" spans="1:2" x14ac:dyDescent="0.25">
      <c r="A11" s="5" t="s">
        <v>7</v>
      </c>
      <c r="B11" s="6">
        <v>53</v>
      </c>
    </row>
    <row r="12" spans="1:2" x14ac:dyDescent="0.25">
      <c r="A12" s="5" t="s">
        <v>27</v>
      </c>
      <c r="B12" s="6">
        <v>379</v>
      </c>
    </row>
    <row r="13" spans="1:2" x14ac:dyDescent="0.25">
      <c r="A13" s="5" t="s">
        <v>10</v>
      </c>
      <c r="B13" s="6">
        <v>32</v>
      </c>
    </row>
    <row r="14" spans="1:2" x14ac:dyDescent="0.25">
      <c r="A14" s="4" t="s">
        <v>15</v>
      </c>
      <c r="B14" s="6">
        <v>109</v>
      </c>
    </row>
    <row r="15" spans="1:2" x14ac:dyDescent="0.25">
      <c r="A15" s="4" t="s">
        <v>19</v>
      </c>
      <c r="B15" s="6">
        <v>85</v>
      </c>
    </row>
    <row r="16" spans="1:2" x14ac:dyDescent="0.25">
      <c r="A16" s="4" t="s">
        <v>12</v>
      </c>
      <c r="B16" s="6">
        <v>56</v>
      </c>
    </row>
    <row r="17" spans="1:2" x14ac:dyDescent="0.25">
      <c r="A17" s="4" t="s">
        <v>5</v>
      </c>
      <c r="B17" s="6">
        <v>45</v>
      </c>
    </row>
    <row r="18" spans="1:2" x14ac:dyDescent="0.25">
      <c r="A18" s="4" t="s">
        <v>18</v>
      </c>
      <c r="B18" s="6">
        <v>35</v>
      </c>
    </row>
    <row r="19" spans="1:2" x14ac:dyDescent="0.25">
      <c r="A19" s="4" t="s">
        <v>25</v>
      </c>
      <c r="B19" s="6">
        <v>16</v>
      </c>
    </row>
    <row r="20" spans="1:2" x14ac:dyDescent="0.25">
      <c r="A20" s="4" t="s">
        <v>9</v>
      </c>
      <c r="B20" s="6">
        <v>6</v>
      </c>
    </row>
    <row r="21" spans="1:2" x14ac:dyDescent="0.25">
      <c r="A21" s="4" t="s">
        <v>24</v>
      </c>
      <c r="B21" s="6">
        <v>5</v>
      </c>
    </row>
    <row r="22" spans="1:2" x14ac:dyDescent="0.25">
      <c r="A22" s="4" t="s">
        <v>8</v>
      </c>
      <c r="B22" s="6">
        <v>2</v>
      </c>
    </row>
    <row r="23" spans="1:2" x14ac:dyDescent="0.25">
      <c r="A23" s="4" t="s">
        <v>14</v>
      </c>
      <c r="B23" s="6">
        <v>1</v>
      </c>
    </row>
    <row r="24" spans="1:2" x14ac:dyDescent="0.25">
      <c r="A24" s="4" t="s">
        <v>17</v>
      </c>
      <c r="B24" s="6">
        <v>1</v>
      </c>
    </row>
    <row r="25" spans="1:2" x14ac:dyDescent="0.25">
      <c r="A25" s="4" t="s">
        <v>35</v>
      </c>
      <c r="B25" s="6">
        <v>1582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A9C8-FA8C-4921-AA5D-28EA18E10E95}">
  <dimension ref="A3:B21"/>
  <sheetViews>
    <sheetView tabSelected="1" workbookViewId="0">
      <selection activeCell="A4" sqref="A4"/>
    </sheetView>
  </sheetViews>
  <sheetFormatPr defaultRowHeight="15" x14ac:dyDescent="0.25"/>
  <cols>
    <col min="1" max="1" width="28.42578125" bestFit="1" customWidth="1"/>
    <col min="2" max="2" width="24.8554687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16</v>
      </c>
      <c r="B4" s="6">
        <v>15</v>
      </c>
    </row>
    <row r="5" spans="1:2" x14ac:dyDescent="0.25">
      <c r="A5" s="5" t="s">
        <v>15</v>
      </c>
      <c r="B5" s="6">
        <v>9</v>
      </c>
    </row>
    <row r="6" spans="1:2" x14ac:dyDescent="0.25">
      <c r="A6" s="5" t="s">
        <v>25</v>
      </c>
      <c r="B6" s="6">
        <v>1</v>
      </c>
    </row>
    <row r="7" spans="1:2" x14ac:dyDescent="0.25">
      <c r="A7" s="5" t="s">
        <v>26</v>
      </c>
      <c r="B7" s="6">
        <v>5</v>
      </c>
    </row>
    <row r="8" spans="1:2" x14ac:dyDescent="0.25">
      <c r="A8" s="4" t="s">
        <v>13</v>
      </c>
      <c r="B8" s="6">
        <v>290</v>
      </c>
    </row>
    <row r="9" spans="1:2" x14ac:dyDescent="0.25">
      <c r="A9" s="4" t="s">
        <v>11</v>
      </c>
      <c r="B9" s="6">
        <v>100</v>
      </c>
    </row>
    <row r="10" spans="1:2" x14ac:dyDescent="0.25">
      <c r="A10" s="4" t="s">
        <v>28</v>
      </c>
      <c r="B10" s="6">
        <v>283</v>
      </c>
    </row>
    <row r="11" spans="1:2" x14ac:dyDescent="0.25">
      <c r="A11" s="4" t="s">
        <v>6</v>
      </c>
      <c r="B11" s="6">
        <v>150</v>
      </c>
    </row>
    <row r="12" spans="1:2" x14ac:dyDescent="0.25">
      <c r="A12" s="4" t="s">
        <v>21</v>
      </c>
      <c r="B12" s="6">
        <v>4</v>
      </c>
    </row>
    <row r="13" spans="1:2" x14ac:dyDescent="0.25">
      <c r="A13" s="4" t="s">
        <v>23</v>
      </c>
      <c r="B13" s="6">
        <v>1</v>
      </c>
    </row>
    <row r="14" spans="1:2" x14ac:dyDescent="0.25">
      <c r="A14" s="4" t="s">
        <v>22</v>
      </c>
      <c r="B14" s="6">
        <v>47</v>
      </c>
    </row>
    <row r="15" spans="1:2" x14ac:dyDescent="0.25">
      <c r="A15" s="4" t="s">
        <v>3</v>
      </c>
      <c r="B15" s="6">
        <v>20</v>
      </c>
    </row>
    <row r="16" spans="1:2" x14ac:dyDescent="0.25">
      <c r="A16" s="4" t="s">
        <v>20</v>
      </c>
      <c r="B16" s="6">
        <v>8</v>
      </c>
    </row>
    <row r="17" spans="1:2" x14ac:dyDescent="0.25">
      <c r="A17" s="4" t="s">
        <v>4</v>
      </c>
      <c r="B17" s="6">
        <v>130</v>
      </c>
    </row>
    <row r="18" spans="1:2" x14ac:dyDescent="0.25">
      <c r="A18" s="4" t="s">
        <v>7</v>
      </c>
      <c r="B18" s="6">
        <v>90</v>
      </c>
    </row>
    <row r="19" spans="1:2" x14ac:dyDescent="0.25">
      <c r="A19" s="4" t="s">
        <v>27</v>
      </c>
      <c r="B19" s="6">
        <v>379</v>
      </c>
    </row>
    <row r="20" spans="1:2" x14ac:dyDescent="0.25">
      <c r="A20" s="4" t="s">
        <v>10</v>
      </c>
      <c r="B20" s="6">
        <v>65</v>
      </c>
    </row>
    <row r="21" spans="1:2" x14ac:dyDescent="0.25">
      <c r="A21" s="4" t="s">
        <v>35</v>
      </c>
      <c r="B21" s="6">
        <v>1582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Montgomery_Fleet_Equipment_Inve</vt:lpstr>
      <vt:lpstr>PivotTable</vt:lpstr>
      <vt:lpstr>PivotTable2</vt:lpstr>
      <vt:lpstr>PivotTable3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Sthefany de Barros Spina</dc:creator>
  <cp:lastModifiedBy>Sthefany de Barros Spina</cp:lastModifiedBy>
  <dcterms:created xsi:type="dcterms:W3CDTF">2020-09-01T17:18:12Z</dcterms:created>
  <dcterms:modified xsi:type="dcterms:W3CDTF">2024-05-09T18:37:32Z</dcterms:modified>
</cp:coreProperties>
</file>